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mfc-my.sharepoint.com/personal/groveni_mfcgd_com/Documents/Desktop/EAR/"/>
    </mc:Choice>
  </mc:AlternateContent>
  <xr:revisionPtr revIDLastSave="0" documentId="8_{4110F224-DA59-42B9-81CB-BF0803A587A4}" xr6:coauthVersionLast="47" xr6:coauthVersionMax="47" xr10:uidLastSave="{00000000-0000-0000-0000-000000000000}"/>
  <bookViews>
    <workbookView xWindow="-108" yWindow="-108" windowWidth="17496" windowHeight="10296" xr2:uid="{48C8853A-88B1-47B4-AEC2-B81E6E830BDE}"/>
  </bookViews>
  <sheets>
    <sheet name="irr_ear_reporting_partial_dv01" sheetId="1" r:id="rId1"/>
    <sheet name="irr_ear_reporting_losses" sheetId="2" r:id="rId2"/>
    <sheet name="irr_ear_reporting_percentil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3" l="1"/>
  <c r="D2" i="3"/>
  <c r="D4" i="3"/>
  <c r="D5" i="3"/>
  <c r="D6" i="3"/>
  <c r="D7" i="3"/>
  <c r="D8" i="3"/>
  <c r="D9" i="3"/>
</calcChain>
</file>

<file path=xl/sharedStrings.xml><?xml version="1.0" encoding="utf-8"?>
<sst xmlns="http://schemas.openxmlformats.org/spreadsheetml/2006/main" count="215" uniqueCount="81">
  <si>
    <t xml:space="preserve">Description:"select top 10 * from alm_rpt.[frm].[v_ha_pre_inception_hedged_fi_dv01]
where report_date = '2025-10-01'" = irr_ear_reporting_dv01_derivatives_raw
select top 10 * from alm_rpt.[frm].[v_ha_pre_inception_hedged_fi_dv01]
where report_date = '2025-10-01' =  irr_ear_reporting_dv01_fi_raw
select top 10 * from alm_rpt.[frm].[v_ha_pre_inception_hedged_liab_dv01]
where report_date = '2025-10-01' = iiirr_ear_reporting_dv01_liab_post_hp_raw
</t>
  </si>
  <si>
    <t>Source Table</t>
  </si>
  <si>
    <t>Source field</t>
  </si>
  <si>
    <t>Source Datatype</t>
  </si>
  <si>
    <t>Target Tablename</t>
  </si>
  <si>
    <t>Target field</t>
  </si>
  <si>
    <t>Target Datatype</t>
  </si>
  <si>
    <t>Transformation Logic</t>
  </si>
  <si>
    <t>Additional comments</t>
  </si>
  <si>
    <t>run_id</t>
  </si>
  <si>
    <t>string</t>
  </si>
  <si>
    <t>irr_ear_reporting_partial_dv01</t>
  </si>
  <si>
    <t>bigint</t>
  </si>
  <si>
    <t>inception_date</t>
  </si>
  <si>
    <t>date</t>
  </si>
  <si>
    <t>report_date</t>
  </si>
  <si>
    <t>The inception date is first of every month when data is loaded for last month. Accordingly we need to  pull quarter end data using  last months data. For example for June quarter end inception date will be 07/01/2026 reporting date for quarter end would be 06/30/2026.</t>
  </si>
  <si>
    <t>irr_ear_reporting_dv01_fi_raw, irr_ear_reporting_dv01_derivatives_raw, irr_ear_reporting_dv01_liab_post_hp_raw</t>
  </si>
  <si>
    <t>security_currency</t>
  </si>
  <si>
    <t>Direct Mapping</t>
  </si>
  <si>
    <t>program_code</t>
  </si>
  <si>
    <t>asset_holding</t>
  </si>
  <si>
    <t>If program_code IN ( GH_14, GH_09, GH_02) then equal to Bond
else if program_code = GH_01 then equal to Liability else
if program_code = MB_01 then equal to Manubank</t>
  </si>
  <si>
    <t>period</t>
  </si>
  <si>
    <t>tenor</t>
  </si>
  <si>
    <t>Direct mapping with values 003M, 006M, 012M, 0124M, 036M, 060M, 120M, 240M, 360M</t>
  </si>
  <si>
    <t>Direct mapping</t>
  </si>
  <si>
    <t>dev_catalog.gft_rda_semantic.irr_mapping_heirarchy_mapping_latest</t>
  </si>
  <si>
    <t>lowest_level_portfolio_name</t>
  </si>
  <si>
    <t>Direct mapping with beow combination  of legal_id, currency and program_code  defined here.</t>
  </si>
  <si>
    <t>HA DV01 mapping_NT_LLP.xlsx</t>
  </si>
  <si>
    <t>legal_id</t>
  </si>
  <si>
    <t>int</t>
  </si>
  <si>
    <t>sum_partial_dv01</t>
  </si>
  <si>
    <t>decimal</t>
  </si>
  <si>
    <t xml:space="preserve">Lookup value of security_currency and program_code/legal_id and get the 10   values of all the periods of dv01 from { Total_dv01*fx_rate  *(1-tax rate for currency)} where Sum dv01 is derived here </t>
  </si>
  <si>
    <t>Additional Comments</t>
  </si>
  <si>
    <t>irr_ear_reporting_losses</t>
  </si>
  <si>
    <t xml:space="preserve">irr_ear_reporting_partial_dv01, </t>
  </si>
  <si>
    <t xml:space="preserve"> irr_ear_reporting_rf_ear_shocks_raw, irr_ear_reporting_partial_dv01, </t>
  </si>
  <si>
    <t>Scenario</t>
  </si>
  <si>
    <t>scenario</t>
  </si>
  <si>
    <t>gft_rda_curation.Irr_ear_ha_liability_llp_curation</t>
  </si>
  <si>
    <t>IR_gamma</t>
  </si>
  <si>
    <t>ir_gamma</t>
  </si>
  <si>
    <t xml:space="preserve">irr_ear_reporting_losses </t>
  </si>
  <si>
    <t>Direct mapping with beow combination  of leagal_id and program_code defined here.</t>
  </si>
  <si>
    <t>irr_ear_reporting_partial_dv01,  irr_ear_reporting_rf_ear_shocks_raw</t>
  </si>
  <si>
    <t>sum_partial_dv01, shocks</t>
  </si>
  <si>
    <t>losses_liab_no gamma</t>
  </si>
  <si>
    <r>
      <rPr>
        <sz val="11"/>
        <color rgb="FF000000"/>
        <rFont val="Aptos Narrow"/>
      </rPr>
      <t>[ Sum of (Scenario 1{sum_partial_dv01 group by currency, asset_holding = liability*Shocks}</t>
    </r>
    <r>
      <rPr>
        <sz val="8"/>
        <color rgb="FF000000"/>
        <rFont val="Aptos Narrow"/>
      </rPr>
      <t>0.25</t>
    </r>
    <r>
      <rPr>
        <sz val="11"/>
        <color rgb="FF000000"/>
        <rFont val="Aptos Narrow"/>
      </rPr>
      <t>+{sum_partial_dv01 * Shocks }</t>
    </r>
    <r>
      <rPr>
        <sz val="8"/>
        <color rgb="FF000000"/>
        <rFont val="Aptos Narrow"/>
      </rPr>
      <t>0.5</t>
    </r>
    <r>
      <rPr>
        <sz val="11"/>
        <color rgb="FF000000"/>
        <rFont val="Aptos Narrow"/>
      </rPr>
      <t>+….+{sum_partial_dv01* Shocks }3</t>
    </r>
    <r>
      <rPr>
        <sz val="8"/>
        <color rgb="FF000000"/>
        <rFont val="Aptos Narrow"/>
      </rPr>
      <t>0</t>
    </r>
    <r>
      <rPr>
        <sz val="11"/>
        <color rgb="FF000000"/>
        <rFont val="Aptos Narrow"/>
      </rPr>
      <t>)]*100 for asset_holding = liability</t>
    </r>
  </si>
  <si>
    <t>Sum Product of sum_partial_dv01 and shocks for each time period as 0.25, 0.5 so on till 30 years and for each scenario group by currency , asset_holding = liability then the result is multiplied by 100</t>
  </si>
  <si>
    <t>irr_ear_reporting_partial_dv01,  irr_ear_reporting_csm_flooring_avg_shocks</t>
  </si>
  <si>
    <t>sum_partial_dv01, avg_shocks, ir_gamma</t>
  </si>
  <si>
    <t>irr_ear_reporting_losses, irr_ear_reporting_csm_flooring_avg_shocks</t>
  </si>
  <si>
    <t>losses_liab_with gamma</t>
  </si>
  <si>
    <t xml:space="preserve">0.5 × ( avg shock group by currency, scenario)^2 × IR Gamma (round off) </t>
  </si>
  <si>
    <t>losses_liab_no gamma, losses_liab_with gamma</t>
  </si>
  <si>
    <t>losses_ha_liab</t>
  </si>
  <si>
    <t>Sum (losses_liab_no gamma +losses_liab_with gamma) matching currency and scenario ID where assset_type = liability</t>
  </si>
  <si>
    <t>losses_ha_bond</t>
  </si>
  <si>
    <r>
      <rPr>
        <sz val="11"/>
        <color rgb="FF000000"/>
        <rFont val="Aptos Narrow"/>
      </rPr>
      <t>[ Sum of (Scenario 1{sum_partial_dv01 group by currency, asset_holding = bond*Shocks }</t>
    </r>
    <r>
      <rPr>
        <sz val="8"/>
        <color rgb="FF000000"/>
        <rFont val="Aptos Narrow"/>
      </rPr>
      <t>0.25</t>
    </r>
    <r>
      <rPr>
        <sz val="11"/>
        <color rgb="FF000000"/>
        <rFont val="Aptos Narrow"/>
      </rPr>
      <t>+{sum_partial_dv01 *Shocks }</t>
    </r>
    <r>
      <rPr>
        <sz val="8"/>
        <color rgb="FF000000"/>
        <rFont val="Aptos Narrow"/>
      </rPr>
      <t>0.5</t>
    </r>
    <r>
      <rPr>
        <sz val="11"/>
        <color rgb="FF000000"/>
        <rFont val="Aptos Narrow"/>
      </rPr>
      <t>+….+{dv01 *Shocks }</t>
    </r>
    <r>
      <rPr>
        <sz val="8"/>
        <color rgb="FF000000"/>
        <rFont val="Aptos Narrow"/>
      </rPr>
      <t>30</t>
    </r>
    <r>
      <rPr>
        <sz val="11"/>
        <color rgb="FF000000"/>
        <rFont val="Aptos Narrow"/>
      </rPr>
      <t xml:space="preserve">)]*100  group by currency, scenario </t>
    </r>
  </si>
  <si>
    <t>Sum Product of sum_partial_dv01 and shocks for each time period as 0.25, 0.5 so on till 30 years and for each scenario group by currency , asset_holding =  bond then the result is multiplied by 100</t>
  </si>
  <si>
    <t>losses_manubank</t>
  </si>
  <si>
    <r>
      <rPr>
        <sz val="11"/>
        <color rgb="FF000000"/>
        <rFont val="Aptos Narrow"/>
      </rPr>
      <t>[ Sum of (Scenario 1{sum_partial_dv01 group by currency, asset_holding = manubank *shocks }</t>
    </r>
    <r>
      <rPr>
        <sz val="8"/>
        <color rgb="FF000000"/>
        <rFont val="Aptos Narrow"/>
      </rPr>
      <t>0.25</t>
    </r>
    <r>
      <rPr>
        <sz val="11"/>
        <color rgb="FF000000"/>
        <rFont val="Aptos Narrow"/>
      </rPr>
      <t>+{{sum_partial_dv01 * Shocks }</t>
    </r>
    <r>
      <rPr>
        <sz val="8"/>
        <color rgb="FF000000"/>
        <rFont val="Aptos Narrow"/>
      </rPr>
      <t>0.5</t>
    </r>
    <r>
      <rPr>
        <sz val="11"/>
        <color rgb="FF000000"/>
        <rFont val="Aptos Narrow"/>
      </rPr>
      <t>+….+{{sum_partial_dv01* Shocks }</t>
    </r>
    <r>
      <rPr>
        <sz val="8"/>
        <color rgb="FF000000"/>
        <rFont val="Aptos Narrow"/>
      </rPr>
      <t>30</t>
    </r>
    <r>
      <rPr>
        <sz val="11"/>
        <color rgb="FF000000"/>
        <rFont val="Aptos Narrow"/>
      </rPr>
      <t>)]*100 group by currency, scenario</t>
    </r>
  </si>
  <si>
    <t>Sum Product of sum_partial_dv01 and shocks for each time period as 0.25, 0.5 so on till 30 years and for each scenario group by currency , asset_holding = manubank then the result is multiplied by 100</t>
  </si>
  <si>
    <t>losses_ha_liab, losses_ha_bond, losses_ha_manubank</t>
  </si>
  <si>
    <t>losses_ha</t>
  </si>
  <si>
    <t>Sum of Losses_HA_liab, Losses_HA_bond, Losses_Manubank group by currency , term, scenario</t>
  </si>
  <si>
    <t>95percentile_losses_liab_no gamma</t>
  </si>
  <si>
    <t xml:space="preserve">Sorts all value in ascending order for  losses_liab_no_gamma. Pick up 4750th value </t>
  </si>
  <si>
    <t>95percentile_losses_liab_with gamma</t>
  </si>
  <si>
    <t xml:space="preserve">Sorts all value in ascending order for  losses_liab_with gamma. Pick up 4750th value </t>
  </si>
  <si>
    <t>95percentile_losses_ha_liab</t>
  </si>
  <si>
    <t xml:space="preserve">Sorts all value in ascending order for losses_ha_liab. Pick up 4750th value </t>
  </si>
  <si>
    <t>95percentile_losses_ha_bond</t>
  </si>
  <si>
    <t xml:space="preserve">Sorts all value in ascending order for losses_ha_bond. Pick up 4750th value </t>
  </si>
  <si>
    <t>95percentile_losses_manubank</t>
  </si>
  <si>
    <t xml:space="preserve">Sorts all value in ascending order for losses_manubank. Pick up 4750th value </t>
  </si>
  <si>
    <t>95percentile_losses_ha</t>
  </si>
  <si>
    <t xml:space="preserve">Sorts all value in ascending order for losses_ha. Pick up 4750th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</si>
</sst>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u/>
      <sz val="11"/>
      <color theme="10"/>
      <name val="Aptos Narrow"/>
      <family val="2"/>
      <scheme val="minor"/>
    </font>
    <font>
      <sz val="11"/>
      <color theme="1"/>
      <name val="Aptos Narrow"/>
      <scheme val="minor"/>
    </font>
    <font>
      <sz val="11"/>
      <color rgb="FF000000"/>
      <name val="Aptos Narrow"/>
    </font>
    <font>
      <sz val="8"/>
      <color rgb="FF000000"/>
      <name val="Aptos Narrow"/>
    </font>
  </fonts>
  <fills count="7">
    <fill>
      <patternFill patternType="none"/>
    </fill>
    <fill>
      <patternFill patternType="gray125"/>
    </fill>
    <fill>
      <patternFill patternType="solid">
        <fgColor theme="5" tint="0.39997558519241921"/>
        <bgColor indexed="64"/>
      </patternFill>
    </fill>
    <fill>
      <patternFill patternType="solid">
        <fgColor rgb="FFDAE9F8"/>
        <bgColor rgb="FF000000"/>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0" fontId="0" fillId="0" borderId="0" xfId="0" applyAlignment="1">
      <alignment vertical="top" wrapText="1"/>
    </xf>
    <xf numFmtId="0" fontId="1" fillId="0" borderId="0" xfId="0" applyFont="1" applyAlignment="1">
      <alignment horizontal="center" vertical="center" wrapText="1"/>
    </xf>
    <xf numFmtId="0" fontId="2" fillId="3" borderId="1" xfId="0" applyFont="1" applyFill="1" applyBorder="1" applyAlignment="1">
      <alignment horizontal="center" vertical="center"/>
    </xf>
    <xf numFmtId="0" fontId="0" fillId="4" borderId="1" xfId="0" applyFill="1" applyBorder="1"/>
    <xf numFmtId="0" fontId="1" fillId="0" borderId="1" xfId="0" applyFont="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applyBorder="1" applyAlignment="1">
      <alignment horizontal="left" vertical="center" wrapText="1"/>
    </xf>
    <xf numFmtId="0" fontId="0" fillId="2" borderId="1" xfId="0" applyFill="1" applyBorder="1" applyAlignment="1">
      <alignment vertical="top" wrapText="1"/>
    </xf>
    <xf numFmtId="0" fontId="0" fillId="0" borderId="1" xfId="0" applyBorder="1" applyAlignment="1">
      <alignment vertical="top" wrapText="1"/>
    </xf>
    <xf numFmtId="0" fontId="3" fillId="3" borderId="1" xfId="0" applyFont="1" applyFill="1" applyBorder="1" applyAlignment="1">
      <alignment horizontal="left" vertical="top"/>
    </xf>
    <xf numFmtId="0" fontId="0" fillId="0" borderId="1" xfId="0" applyBorder="1" applyAlignment="1">
      <alignment horizontal="center" vertical="center" wrapText="1"/>
    </xf>
    <xf numFmtId="0" fontId="3" fillId="0" borderId="1" xfId="0" applyFont="1" applyBorder="1" applyAlignment="1">
      <alignment horizontal="left" vertical="top"/>
    </xf>
    <xf numFmtId="0" fontId="4" fillId="0" borderId="0" xfId="1"/>
    <xf numFmtId="0" fontId="0" fillId="4" borderId="1" xfId="0" applyFill="1" applyBorder="1" applyAlignment="1">
      <alignment horizontal="left" vertical="center"/>
    </xf>
    <xf numFmtId="0" fontId="1" fillId="0" borderId="2" xfId="0" applyFont="1" applyBorder="1" applyAlignment="1">
      <alignment horizontal="center" vertical="center" wrapText="1"/>
    </xf>
    <xf numFmtId="0" fontId="0" fillId="5" borderId="1" xfId="0" applyFill="1" applyBorder="1"/>
    <xf numFmtId="0" fontId="0" fillId="0" borderId="1" xfId="0" applyBorder="1" applyAlignment="1">
      <alignment vertical="top"/>
    </xf>
    <xf numFmtId="0" fontId="0" fillId="0" borderId="3" xfId="0" applyBorder="1"/>
    <xf numFmtId="0" fontId="0" fillId="0" borderId="4" xfId="0" applyBorder="1"/>
    <xf numFmtId="0" fontId="3" fillId="0" borderId="2" xfId="0" applyFont="1" applyBorder="1" applyAlignment="1">
      <alignment horizontal="left" vertical="top"/>
    </xf>
    <xf numFmtId="0" fontId="5" fillId="0" borderId="1" xfId="0" applyFont="1" applyBorder="1" applyAlignment="1">
      <alignment wrapText="1"/>
    </xf>
    <xf numFmtId="0" fontId="1" fillId="0" borderId="0" xfId="0" applyFont="1"/>
    <xf numFmtId="0" fontId="1" fillId="0" borderId="2" xfId="0" applyFont="1" applyBorder="1" applyAlignment="1">
      <alignment horizontal="center" vertical="center" wrapText="1" indent="2"/>
    </xf>
    <xf numFmtId="0" fontId="1" fillId="0" borderId="0" xfId="0" applyFont="1" applyAlignment="1">
      <alignment horizontal="center" vertical="center" indent="2"/>
    </xf>
    <xf numFmtId="0" fontId="3" fillId="2" borderId="1" xfId="0" applyFont="1" applyFill="1" applyBorder="1" applyAlignment="1">
      <alignment vertical="top" wrapText="1"/>
    </xf>
    <xf numFmtId="0" fontId="6" fillId="0" borderId="1" xfId="0" applyFont="1" applyBorder="1" applyAlignment="1">
      <alignment wrapText="1"/>
    </xf>
    <xf numFmtId="0" fontId="0" fillId="0" borderId="5" xfId="0" applyBorder="1"/>
    <xf numFmtId="0" fontId="0" fillId="0" borderId="2" xfId="0" applyBorder="1"/>
    <xf numFmtId="0" fontId="0" fillId="0" borderId="3" xfId="0" applyBorder="1" applyAlignment="1">
      <alignment wrapText="1"/>
    </xf>
    <xf numFmtId="0" fontId="3" fillId="6" borderId="1"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mfc.sharepoint.com/:x:/r/sites/GFTRiskProjects/Project%20Library/2025%20-%20NEW%20RDA/MVP%201/MVP%201%20-%20Phase%202%20-%20Earnings%20at%20Risk%20(EaR)/HA%20DV01%20mapping_NT_LLP.xlsx?d=w76d85b3f02584abbabe8c5c12637baef&amp;csf=1&amp;web=1&amp;e=2ReFdp" TargetMode="External"/><Relationship Id="rId1" Type="http://schemas.openxmlformats.org/officeDocument/2006/relationships/hyperlink" Target="https://mfc.sharepoint.com/:x:/r/sites/GFTRiskProjects/Project%20Library/2025%20-%20NEW%20RDA/MVP%201/MVP%201%20-%20Phase%202%20-%20Earnings%20at%20Risk%20(EaR)/HA%20DV01%20mapping_NT_LLP.xlsx?d=w76d85b3f02584abbabe8c5c12637baef&amp;csf=1&amp;web=1&amp;e=2ReFd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fc.sharepoint.com/:x:/r/sites/GFTRiskProjects/Project%20Library/2025%20-%20NEW%20RDA/MVP%201/MVP%201%20-%20Phase%202%20-%20Earnings%20at%20Risk%20(EaR)/HA%20DV01%20mapping_NT_LLP.xlsx?d=w76d85b3f02584abbabe8c5c12637baef&amp;csf=1&amp;web=1&amp;e=2ReFd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F0E5-214C-40E9-97B0-C1A0889F3258}">
  <dimension ref="A1:H13"/>
  <sheetViews>
    <sheetView tabSelected="1" workbookViewId="0">
      <selection activeCell="A5" sqref="A5"/>
    </sheetView>
  </sheetViews>
  <sheetFormatPr defaultRowHeight="14.45"/>
  <cols>
    <col min="1" max="1" width="55.85546875" customWidth="1"/>
    <col min="2" max="2" width="56.28515625" customWidth="1"/>
    <col min="3" max="3" width="18.28515625" customWidth="1"/>
    <col min="4" max="4" width="30.140625" customWidth="1"/>
    <col min="5" max="5" width="18.85546875" customWidth="1"/>
    <col min="6" max="6" width="17.5703125" customWidth="1"/>
    <col min="7" max="7" width="78.140625" customWidth="1"/>
    <col min="8" max="8" width="72.42578125" customWidth="1"/>
  </cols>
  <sheetData>
    <row r="1" spans="1:8" ht="178.9" customHeight="1">
      <c r="A1" s="26" t="s">
        <v>0</v>
      </c>
      <c r="B1" s="9"/>
      <c r="C1" s="9"/>
      <c r="D1" s="9"/>
      <c r="E1" s="9"/>
      <c r="F1" s="9"/>
      <c r="G1" s="10"/>
      <c r="H1" s="1"/>
    </row>
    <row r="2" spans="1:8" ht="28.9">
      <c r="A2" s="5" t="s">
        <v>1</v>
      </c>
      <c r="B2" s="3" t="s">
        <v>2</v>
      </c>
      <c r="C2" s="5" t="s">
        <v>3</v>
      </c>
      <c r="D2" s="5" t="s">
        <v>4</v>
      </c>
      <c r="E2" s="5" t="s">
        <v>5</v>
      </c>
      <c r="F2" s="5" t="s">
        <v>6</v>
      </c>
      <c r="G2" s="5" t="s">
        <v>7</v>
      </c>
      <c r="H2" s="2" t="s">
        <v>8</v>
      </c>
    </row>
    <row r="3" spans="1:8">
      <c r="A3" s="6"/>
      <c r="B3" s="6" t="s">
        <v>9</v>
      </c>
      <c r="C3" s="8" t="s">
        <v>10</v>
      </c>
      <c r="D3" s="6" t="s">
        <v>11</v>
      </c>
      <c r="E3" s="6" t="s">
        <v>9</v>
      </c>
      <c r="F3" s="4" t="s">
        <v>12</v>
      </c>
      <c r="G3" s="5"/>
      <c r="H3" s="2"/>
    </row>
    <row r="4" spans="1:8" ht="43.5">
      <c r="A4" s="5"/>
      <c r="B4" s="11" t="s">
        <v>13</v>
      </c>
      <c r="C4" s="8" t="s">
        <v>14</v>
      </c>
      <c r="D4" s="6" t="s">
        <v>11</v>
      </c>
      <c r="E4" s="31" t="s">
        <v>15</v>
      </c>
      <c r="F4" s="4" t="s">
        <v>14</v>
      </c>
      <c r="G4" s="8" t="s">
        <v>16</v>
      </c>
      <c r="H4" s="2"/>
    </row>
    <row r="5" spans="1:8" ht="43.5">
      <c r="A5" s="12" t="s">
        <v>17</v>
      </c>
      <c r="B5" s="6" t="s">
        <v>18</v>
      </c>
      <c r="C5" s="15" t="s">
        <v>10</v>
      </c>
      <c r="D5" s="6" t="s">
        <v>11</v>
      </c>
      <c r="E5" s="6" t="s">
        <v>18</v>
      </c>
      <c r="F5" s="4" t="s">
        <v>10</v>
      </c>
      <c r="G5" s="6" t="s">
        <v>19</v>
      </c>
    </row>
    <row r="6" spans="1:8" ht="43.5">
      <c r="A6" s="12" t="s">
        <v>17</v>
      </c>
      <c r="B6" s="6" t="s">
        <v>20</v>
      </c>
      <c r="C6" s="15" t="s">
        <v>10</v>
      </c>
      <c r="D6" s="6" t="s">
        <v>11</v>
      </c>
      <c r="E6" s="6" t="s">
        <v>21</v>
      </c>
      <c r="F6" s="4" t="s">
        <v>10</v>
      </c>
      <c r="G6" s="22" t="s">
        <v>22</v>
      </c>
    </row>
    <row r="7" spans="1:8" ht="43.15">
      <c r="A7" s="12" t="s">
        <v>17</v>
      </c>
      <c r="B7" s="17" t="s">
        <v>23</v>
      </c>
      <c r="C7" s="4" t="s">
        <v>10</v>
      </c>
      <c r="D7" s="6" t="s">
        <v>11</v>
      </c>
      <c r="E7" s="6" t="s">
        <v>24</v>
      </c>
      <c r="F7" s="4" t="s">
        <v>10</v>
      </c>
      <c r="G7" s="6" t="s">
        <v>25</v>
      </c>
    </row>
    <row r="8" spans="1:8" ht="43.15">
      <c r="A8" s="12" t="s">
        <v>17</v>
      </c>
      <c r="B8" s="6" t="s">
        <v>20</v>
      </c>
      <c r="C8" s="4" t="s">
        <v>10</v>
      </c>
      <c r="D8" s="6" t="s">
        <v>11</v>
      </c>
      <c r="E8" s="6" t="s">
        <v>20</v>
      </c>
      <c r="F8" s="4" t="s">
        <v>10</v>
      </c>
      <c r="G8" s="6" t="s">
        <v>26</v>
      </c>
    </row>
    <row r="9" spans="1:8">
      <c r="A9" s="6" t="s">
        <v>27</v>
      </c>
      <c r="B9" s="6" t="s">
        <v>28</v>
      </c>
      <c r="C9" s="4" t="s">
        <v>10</v>
      </c>
      <c r="D9" s="6" t="s">
        <v>11</v>
      </c>
      <c r="E9" s="6" t="s">
        <v>28</v>
      </c>
      <c r="F9" s="4" t="s">
        <v>10</v>
      </c>
      <c r="G9" s="6" t="s">
        <v>29</v>
      </c>
      <c r="H9" s="14" t="s">
        <v>30</v>
      </c>
    </row>
    <row r="10" spans="1:8" ht="43.15">
      <c r="A10" s="12" t="s">
        <v>17</v>
      </c>
      <c r="B10" s="13" t="s">
        <v>31</v>
      </c>
      <c r="C10" s="4" t="s">
        <v>32</v>
      </c>
      <c r="D10" s="6" t="s">
        <v>11</v>
      </c>
      <c r="E10" s="13" t="s">
        <v>31</v>
      </c>
      <c r="F10" s="4" t="s">
        <v>32</v>
      </c>
      <c r="G10" s="6" t="s">
        <v>26</v>
      </c>
    </row>
    <row r="11" spans="1:8" ht="43.5">
      <c r="A11" s="12" t="s">
        <v>17</v>
      </c>
      <c r="B11" s="6" t="s">
        <v>33</v>
      </c>
      <c r="C11" s="4" t="s">
        <v>34</v>
      </c>
      <c r="D11" s="6" t="s">
        <v>11</v>
      </c>
      <c r="E11" s="6" t="s">
        <v>33</v>
      </c>
      <c r="F11" s="4" t="s">
        <v>34</v>
      </c>
      <c r="G11" s="7" t="s">
        <v>35</v>
      </c>
    </row>
    <row r="12" spans="1:8">
      <c r="G12" s="14" t="s">
        <v>30</v>
      </c>
    </row>
    <row r="13" spans="1:8" ht="15"/>
  </sheetData>
  <hyperlinks>
    <hyperlink ref="G12" r:id="rId1" display="https://mfc.sharepoint.com/:x:/r/sites/GFTRiskProjects/Project Library/2025 - NEW RDA/MVP 1/MVP 1 - Phase 2 - Earnings at Risk (EaR)/HA DV01 mapping_NT_LLP.xlsx?d=w76d85b3f02584abbabe8c5c12637baef&amp;csf=1&amp;web=1&amp;e=2ReFdp" xr:uid="{5C7CC4C7-9EA6-44F3-9364-CFBD0108AC00}"/>
    <hyperlink ref="H9" r:id="rId2" display="https://mfc.sharepoint.com/:x:/r/sites/GFTRiskProjects/Project Library/2025 - NEW RDA/MVP 1/MVP 1 - Phase 2 - Earnings at Risk (EaR)/HA DV01 mapping_NT_LLP.xlsx?d=w76d85b3f02584abbabe8c5c12637baef&amp;csf=1&amp;web=1&amp;e=2ReFdp" xr:uid="{F8929C99-D240-4FE5-940D-166F2AFEC8E6}"/>
  </hyperlinks>
  <pageMargins left="0.7" right="0.7" top="0.75" bottom="0.75" header="0.3" footer="0.3"/>
  <headerFooter>
    <oddFooter>&amp;C_x000D_&amp;1#&amp;"Aptos"&amp;8&amp;K000000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9B5F-79AB-4FE0-B657-917677F6950E}">
  <dimension ref="A1:H14"/>
  <sheetViews>
    <sheetView workbookViewId="0">
      <selection activeCell="G8" sqref="G8"/>
    </sheetView>
  </sheetViews>
  <sheetFormatPr defaultRowHeight="14.45"/>
  <cols>
    <col min="1" max="1" width="64.28515625" customWidth="1"/>
    <col min="2" max="2" width="56.140625" customWidth="1"/>
    <col min="3" max="3" width="30.28515625" customWidth="1"/>
    <col min="4" max="4" width="26.42578125" customWidth="1"/>
    <col min="5" max="5" width="22.5703125" customWidth="1"/>
    <col min="6" max="6" width="18.28515625" customWidth="1"/>
    <col min="7" max="7" width="105" customWidth="1"/>
    <col min="8" max="8" width="59" customWidth="1"/>
  </cols>
  <sheetData>
    <row r="1" spans="1:8" ht="15">
      <c r="A1" s="5" t="s">
        <v>1</v>
      </c>
      <c r="B1" s="3" t="s">
        <v>2</v>
      </c>
      <c r="C1" s="5" t="s">
        <v>3</v>
      </c>
      <c r="D1" s="16" t="s">
        <v>4</v>
      </c>
      <c r="E1" s="16" t="s">
        <v>5</v>
      </c>
      <c r="F1" s="16" t="s">
        <v>6</v>
      </c>
      <c r="G1" s="16" t="s">
        <v>7</v>
      </c>
      <c r="H1" s="23" t="s">
        <v>36</v>
      </c>
    </row>
    <row r="2" spans="1:8">
      <c r="A2" s="6" t="s">
        <v>11</v>
      </c>
      <c r="B2" s="6"/>
      <c r="C2" s="6"/>
      <c r="D2" s="6" t="s">
        <v>37</v>
      </c>
      <c r="E2" s="6" t="s">
        <v>9</v>
      </c>
      <c r="F2" s="6" t="s">
        <v>12</v>
      </c>
      <c r="G2" s="6" t="s">
        <v>26</v>
      </c>
      <c r="H2" s="6"/>
    </row>
    <row r="3" spans="1:8">
      <c r="A3" s="6" t="s">
        <v>11</v>
      </c>
      <c r="B3" s="6"/>
      <c r="C3" s="6"/>
      <c r="D3" s="6" t="s">
        <v>37</v>
      </c>
      <c r="E3" s="13" t="s">
        <v>15</v>
      </c>
      <c r="F3" s="6" t="s">
        <v>14</v>
      </c>
      <c r="G3" s="6" t="s">
        <v>26</v>
      </c>
      <c r="H3" s="6"/>
    </row>
    <row r="4" spans="1:8">
      <c r="A4" s="6" t="s">
        <v>38</v>
      </c>
      <c r="B4" s="6" t="s">
        <v>18</v>
      </c>
      <c r="C4" s="4" t="s">
        <v>10</v>
      </c>
      <c r="D4" s="6" t="s">
        <v>37</v>
      </c>
      <c r="E4" s="6" t="s">
        <v>18</v>
      </c>
      <c r="F4" s="6" t="s">
        <v>10</v>
      </c>
      <c r="G4" s="6" t="s">
        <v>26</v>
      </c>
      <c r="H4" s="6"/>
    </row>
    <row r="5" spans="1:8">
      <c r="A5" s="6" t="s">
        <v>39</v>
      </c>
      <c r="B5" s="6" t="s">
        <v>40</v>
      </c>
      <c r="C5" s="6" t="s">
        <v>32</v>
      </c>
      <c r="D5" s="6" t="s">
        <v>37</v>
      </c>
      <c r="E5" s="6" t="s">
        <v>41</v>
      </c>
      <c r="F5" s="6" t="s">
        <v>32</v>
      </c>
      <c r="G5" s="6" t="s">
        <v>26</v>
      </c>
      <c r="H5" s="6"/>
    </row>
    <row r="6" spans="1:8">
      <c r="A6" s="17" t="s">
        <v>42</v>
      </c>
      <c r="B6" s="6" t="s">
        <v>43</v>
      </c>
      <c r="C6" s="6" t="s">
        <v>32</v>
      </c>
      <c r="D6" s="6" t="s">
        <v>37</v>
      </c>
      <c r="E6" s="6" t="s">
        <v>44</v>
      </c>
      <c r="F6" s="6" t="s">
        <v>32</v>
      </c>
      <c r="G6" s="6" t="s">
        <v>26</v>
      </c>
      <c r="H6" s="6"/>
    </row>
    <row r="7" spans="1:8" ht="15">
      <c r="A7" s="6" t="s">
        <v>27</v>
      </c>
      <c r="B7" s="6" t="s">
        <v>28</v>
      </c>
      <c r="C7" s="4" t="s">
        <v>10</v>
      </c>
      <c r="D7" s="6" t="s">
        <v>45</v>
      </c>
      <c r="E7" s="6" t="s">
        <v>28</v>
      </c>
      <c r="F7" s="4" t="s">
        <v>10</v>
      </c>
      <c r="G7" s="6" t="s">
        <v>46</v>
      </c>
      <c r="H7" s="14" t="s">
        <v>30</v>
      </c>
    </row>
    <row r="8" spans="1:8" ht="43.5">
      <c r="A8" s="6" t="s">
        <v>47</v>
      </c>
      <c r="B8" s="6" t="s">
        <v>48</v>
      </c>
      <c r="C8" s="6" t="s">
        <v>34</v>
      </c>
      <c r="D8" s="6" t="s">
        <v>37</v>
      </c>
      <c r="E8" s="6" t="s">
        <v>49</v>
      </c>
      <c r="F8" s="6" t="s">
        <v>34</v>
      </c>
      <c r="G8" s="27" t="s">
        <v>50</v>
      </c>
      <c r="H8" s="7" t="s">
        <v>51</v>
      </c>
    </row>
    <row r="9" spans="1:8">
      <c r="A9" s="6" t="s">
        <v>52</v>
      </c>
      <c r="B9" s="6" t="s">
        <v>53</v>
      </c>
      <c r="C9" s="4" t="s">
        <v>34</v>
      </c>
      <c r="D9" s="6" t="s">
        <v>54</v>
      </c>
      <c r="E9" s="6" t="s">
        <v>55</v>
      </c>
      <c r="F9" s="6" t="s">
        <v>34</v>
      </c>
      <c r="G9" s="6" t="s">
        <v>56</v>
      </c>
      <c r="H9" s="6"/>
    </row>
    <row r="10" spans="1:8">
      <c r="A10" s="6" t="s">
        <v>47</v>
      </c>
      <c r="B10" s="6" t="s">
        <v>57</v>
      </c>
      <c r="C10" s="4" t="s">
        <v>34</v>
      </c>
      <c r="D10" s="6" t="s">
        <v>37</v>
      </c>
      <c r="E10" s="6" t="s">
        <v>58</v>
      </c>
      <c r="F10" s="6" t="s">
        <v>34</v>
      </c>
      <c r="G10" s="6" t="s">
        <v>59</v>
      </c>
      <c r="H10" s="6"/>
    </row>
    <row r="11" spans="1:8" ht="43.5">
      <c r="A11" s="6" t="s">
        <v>47</v>
      </c>
      <c r="B11" s="6" t="s">
        <v>48</v>
      </c>
      <c r="C11" s="4" t="s">
        <v>34</v>
      </c>
      <c r="D11" s="6" t="s">
        <v>37</v>
      </c>
      <c r="E11" s="6" t="s">
        <v>60</v>
      </c>
      <c r="F11" s="6" t="s">
        <v>34</v>
      </c>
      <c r="G11" s="27" t="s">
        <v>61</v>
      </c>
      <c r="H11" s="7" t="s">
        <v>62</v>
      </c>
    </row>
    <row r="12" spans="1:8" ht="57.75">
      <c r="A12" s="6" t="s">
        <v>47</v>
      </c>
      <c r="B12" s="6" t="s">
        <v>48</v>
      </c>
      <c r="C12" s="4" t="s">
        <v>34</v>
      </c>
      <c r="D12" s="6" t="s">
        <v>37</v>
      </c>
      <c r="E12" s="6" t="s">
        <v>63</v>
      </c>
      <c r="F12" s="6" t="s">
        <v>34</v>
      </c>
      <c r="G12" s="27" t="s">
        <v>64</v>
      </c>
      <c r="H12" s="7" t="s">
        <v>65</v>
      </c>
    </row>
    <row r="13" spans="1:8">
      <c r="A13" s="6" t="s">
        <v>47</v>
      </c>
      <c r="B13" s="6" t="s">
        <v>66</v>
      </c>
      <c r="C13" s="4" t="s">
        <v>34</v>
      </c>
      <c r="D13" s="6" t="s">
        <v>37</v>
      </c>
      <c r="E13" s="6" t="s">
        <v>67</v>
      </c>
      <c r="F13" s="6" t="s">
        <v>34</v>
      </c>
      <c r="G13" s="6" t="s">
        <v>68</v>
      </c>
      <c r="H13" s="6"/>
    </row>
    <row r="14" spans="1:8" ht="15"/>
  </sheetData>
  <hyperlinks>
    <hyperlink ref="H7" r:id="rId1" display="https://mfc.sharepoint.com/:x:/r/sites/GFTRiskProjects/Project Library/2025 - NEW RDA/MVP 1/MVP 1 - Phase 2 - Earnings at Risk (EaR)/HA DV01 mapping_NT_LLP.xlsx?d=w76d85b3f02584abbabe8c5c12637baef&amp;csf=1&amp;web=1&amp;e=2ReFdp" xr:uid="{2815C141-8ECB-4C4A-A877-049B8CEA508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D94B-08A1-4825-880C-935B925CDDB4}">
  <dimension ref="A1:H9"/>
  <sheetViews>
    <sheetView workbookViewId="0">
      <selection activeCell="B3" sqref="B3"/>
    </sheetView>
  </sheetViews>
  <sheetFormatPr defaultRowHeight="14.45"/>
  <cols>
    <col min="1" max="1" width="23" customWidth="1"/>
    <col min="2" max="2" width="21.28515625" customWidth="1"/>
    <col min="3" max="3" width="21.7109375" customWidth="1"/>
    <col min="4" max="4" width="24" customWidth="1"/>
    <col min="5" max="5" width="34.28515625" customWidth="1"/>
    <col min="6" max="6" width="17" customWidth="1"/>
    <col min="7" max="7" width="52" customWidth="1"/>
    <col min="8" max="8" width="50.140625" customWidth="1"/>
  </cols>
  <sheetData>
    <row r="1" spans="1:8" ht="39.75" customHeight="1">
      <c r="A1" s="5" t="s">
        <v>1</v>
      </c>
      <c r="B1" s="3" t="s">
        <v>2</v>
      </c>
      <c r="C1" s="5" t="s">
        <v>3</v>
      </c>
      <c r="D1" s="24" t="s">
        <v>4</v>
      </c>
      <c r="E1" s="24" t="s">
        <v>5</v>
      </c>
      <c r="F1" s="24" t="s">
        <v>6</v>
      </c>
      <c r="G1" s="24" t="s">
        <v>7</v>
      </c>
      <c r="H1" s="25" t="s">
        <v>36</v>
      </c>
    </row>
    <row r="2" spans="1:8" ht="15">
      <c r="A2" s="6" t="s">
        <v>37</v>
      </c>
      <c r="B2" s="6"/>
      <c r="C2" s="6"/>
      <c r="D2" s="6" t="str">
        <f t="shared" ref="D2:D9" si="0">SUBSTITUTE(A2, "losses", "percentile")</f>
        <v>irr_ear_reporting_percentile</v>
      </c>
      <c r="E2" s="6" t="s">
        <v>9</v>
      </c>
      <c r="F2" s="6" t="s">
        <v>12</v>
      </c>
      <c r="G2" s="6" t="s">
        <v>26</v>
      </c>
      <c r="H2" s="6"/>
    </row>
    <row r="3" spans="1:8" ht="15">
      <c r="A3" s="6" t="s">
        <v>37</v>
      </c>
      <c r="B3" s="6"/>
      <c r="C3" s="6"/>
      <c r="D3" s="6" t="str">
        <f t="shared" si="0"/>
        <v>irr_ear_reporting_percentile</v>
      </c>
      <c r="E3" s="21" t="s">
        <v>15</v>
      </c>
      <c r="F3" s="6" t="s">
        <v>14</v>
      </c>
      <c r="G3" s="29" t="s">
        <v>26</v>
      </c>
      <c r="H3" s="6"/>
    </row>
    <row r="4" spans="1:8" ht="29.25">
      <c r="A4" s="6" t="s">
        <v>37</v>
      </c>
      <c r="B4" s="6" t="s">
        <v>49</v>
      </c>
      <c r="C4" s="6" t="s">
        <v>34</v>
      </c>
      <c r="D4" s="20" t="str">
        <f t="shared" si="0"/>
        <v>irr_ear_reporting_percentile</v>
      </c>
      <c r="E4" s="19" t="s">
        <v>69</v>
      </c>
      <c r="F4" s="28" t="s">
        <v>34</v>
      </c>
      <c r="G4" s="30" t="s">
        <v>70</v>
      </c>
    </row>
    <row r="5" spans="1:8" ht="29.25">
      <c r="A5" s="6" t="s">
        <v>37</v>
      </c>
      <c r="B5" s="6" t="s">
        <v>55</v>
      </c>
      <c r="C5" s="6" t="s">
        <v>34</v>
      </c>
      <c r="D5" s="20" t="str">
        <f t="shared" si="0"/>
        <v>irr_ear_reporting_percentile</v>
      </c>
      <c r="E5" s="19" t="s">
        <v>71</v>
      </c>
      <c r="F5" s="28" t="s">
        <v>34</v>
      </c>
      <c r="G5" s="30" t="s">
        <v>72</v>
      </c>
    </row>
    <row r="6" spans="1:8" ht="29.25">
      <c r="A6" s="6" t="s">
        <v>37</v>
      </c>
      <c r="B6" s="6" t="s">
        <v>58</v>
      </c>
      <c r="C6" s="6" t="s">
        <v>34</v>
      </c>
      <c r="D6" s="20" t="str">
        <f t="shared" si="0"/>
        <v>irr_ear_reporting_percentile</v>
      </c>
      <c r="E6" s="19" t="s">
        <v>73</v>
      </c>
      <c r="F6" s="28" t="s">
        <v>34</v>
      </c>
      <c r="G6" s="30" t="s">
        <v>74</v>
      </c>
    </row>
    <row r="7" spans="1:8" ht="29.25">
      <c r="A7" s="6" t="s">
        <v>37</v>
      </c>
      <c r="B7" s="6" t="s">
        <v>60</v>
      </c>
      <c r="C7" s="6" t="s">
        <v>34</v>
      </c>
      <c r="D7" s="20" t="str">
        <f t="shared" si="0"/>
        <v>irr_ear_reporting_percentile</v>
      </c>
      <c r="E7" s="19" t="s">
        <v>75</v>
      </c>
      <c r="F7" s="28" t="s">
        <v>34</v>
      </c>
      <c r="G7" s="30" t="s">
        <v>76</v>
      </c>
    </row>
    <row r="8" spans="1:8" ht="29.25">
      <c r="A8" s="6" t="s">
        <v>37</v>
      </c>
      <c r="B8" s="18" t="s">
        <v>63</v>
      </c>
      <c r="C8" s="6" t="s">
        <v>34</v>
      </c>
      <c r="D8" s="20" t="str">
        <f t="shared" si="0"/>
        <v>irr_ear_reporting_percentile</v>
      </c>
      <c r="E8" s="19" t="s">
        <v>77</v>
      </c>
      <c r="F8" s="28" t="s">
        <v>34</v>
      </c>
      <c r="G8" s="30" t="s">
        <v>78</v>
      </c>
    </row>
    <row r="9" spans="1:8" ht="29.25">
      <c r="A9" s="6" t="s">
        <v>37</v>
      </c>
      <c r="B9" s="6" t="s">
        <v>67</v>
      </c>
      <c r="C9" s="6" t="s">
        <v>34</v>
      </c>
      <c r="D9" s="20" t="str">
        <f t="shared" si="0"/>
        <v>irr_ear_reporting_percentile</v>
      </c>
      <c r="E9" s="19" t="s">
        <v>79</v>
      </c>
      <c r="F9" s="28" t="s">
        <v>34</v>
      </c>
      <c r="G9" s="30" t="s">
        <v>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49E8E682AE4949849A25276853C29C" ma:contentTypeVersion="15" ma:contentTypeDescription="Create a new document." ma:contentTypeScope="" ma:versionID="0805de9053518a1679648e51ff8c15bd">
  <xsd:schema xmlns:xsd="http://www.w3.org/2001/XMLSchema" xmlns:xs="http://www.w3.org/2001/XMLSchema" xmlns:p="http://schemas.microsoft.com/office/2006/metadata/properties" xmlns:ns2="aff3a22c-b168-43d8-a67e-e3f2f0ba7740" xmlns:ns3="f2375646-f766-42b9-966b-c945a0806887" targetNamespace="http://schemas.microsoft.com/office/2006/metadata/properties" ma:root="true" ma:fieldsID="5da5145e8eb462e7bf607fbcbde0b591" ns2:_="" ns3:_="">
    <xsd:import namespace="aff3a22c-b168-43d8-a67e-e3f2f0ba7740"/>
    <xsd:import namespace="f2375646-f766-42b9-966b-c945a08068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f3a22c-b168-43d8-a67e-e3f2f0ba77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c039845-d277-466e-a9af-ee1ca770c93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375646-f766-42b9-966b-c945a08068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531f6dc-0c14-45a5-a557-9421ec040c37}" ma:internalName="TaxCatchAll" ma:showField="CatchAllData" ma:web="f2375646-f766-42b9-966b-c945a08068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375646-f766-42b9-966b-c945a0806887" xsi:nil="true"/>
    <lcf76f155ced4ddcb4097134ff3c332f xmlns="aff3a22c-b168-43d8-a67e-e3f2f0ba77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2EE7FC-6274-498B-BB60-C90F65FCBE34}"/>
</file>

<file path=customXml/itemProps2.xml><?xml version="1.0" encoding="utf-8"?>
<ds:datastoreItem xmlns:ds="http://schemas.openxmlformats.org/officeDocument/2006/customXml" ds:itemID="{1CE6B51F-05B7-4135-902A-A35EB469F2B9}"/>
</file>

<file path=customXml/itemProps3.xml><?xml version="1.0" encoding="utf-8"?>
<ds:datastoreItem xmlns:ds="http://schemas.openxmlformats.org/officeDocument/2006/customXml" ds:itemID="{2BF7E764-500F-4344-891F-BEBD66EA65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Nidhi Grover</dc:creator>
  <cp:keywords/>
  <dc:description/>
  <cp:lastModifiedBy/>
  <cp:revision/>
  <dcterms:created xsi:type="dcterms:W3CDTF">2026-07-29T17:52:54Z</dcterms:created>
  <dcterms:modified xsi:type="dcterms:W3CDTF">2026-08-27T18:44:55Z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a27cab5-59e6-424d-abbb-227cd06504a3_Enabled">
    <vt:lpwstr>true</vt:lpwstr>
  </property>
  <property fmtid="{D5CDD505-2E9C-101B-9397-08002B2CF9AE}" pid="3" name="MSIP_Label_5a27cab5-59e6-424d-abbb-227cd06504a3_SetDate">
    <vt:lpwstr>2026-07-29T18:34:54Z</vt:lpwstr>
  </property>
  <property fmtid="{D5CDD505-2E9C-101B-9397-08002B2CF9AE}" pid="4" name="MSIP_Label_5a27cab5-59e6-424d-abbb-227cd06504a3_Method">
    <vt:lpwstr>Privileged</vt:lpwstr>
  </property>
  <property fmtid="{D5CDD505-2E9C-101B-9397-08002B2CF9AE}" pid="5" name="MSIP_Label_5a27cab5-59e6-424d-abbb-227cd06504a3_Name">
    <vt:lpwstr>INTERNAL v2</vt:lpwstr>
  </property>
  <property fmtid="{D5CDD505-2E9C-101B-9397-08002B2CF9AE}" pid="6" name="MSIP_Label_5a27cab5-59e6-424d-abbb-227cd06504a3_SiteId">
    <vt:lpwstr>5d3e2773-e07f-4432-a630-1a0f68a28a05</vt:lpwstr>
  </property>
  <property fmtid="{D5CDD505-2E9C-101B-9397-08002B2CF9AE}" pid="7" name="MSIP_Label_5a27cab5-59e6-424d-abbb-227cd06504a3_ActionId">
    <vt:lpwstr>531a1fe0-388e-4c62-b2f0-865246c81eeb</vt:lpwstr>
  </property>
  <property fmtid="{D5CDD505-2E9C-101B-9397-08002B2CF9AE}" pid="8" name="MSIP_Label_5a27cab5-59e6-424d-abbb-227cd06504a3_ContentBits">
    <vt:lpwstr>2</vt:lpwstr>
  </property>
  <property fmtid="{D5CDD505-2E9C-101B-9397-08002B2CF9AE}" pid="9" name="MSIP_Label_5a27cab5-59e6-424d-abbb-227cd06504a3_Tag">
    <vt:lpwstr>10, 0, 1, 1</vt:lpwstr>
  </property>
  <property fmtid="{D5CDD505-2E9C-101B-9397-08002B2CF9AE}" pid="10" name="ContentTypeId">
    <vt:lpwstr>0x0101009F49E8E682AE4949849A25276853C29C</vt:lpwstr>
  </property>
  <property fmtid="{D5CDD505-2E9C-101B-9397-08002B2CF9AE}" pid="11" name="MediaServiceImageTags">
    <vt:lpwstr/>
  </property>
</Properties>
</file>